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PP_Calculator" sheetId="3" state="visible" r:id="rId3"/>
    <sheet xmlns:r="http://schemas.openxmlformats.org/officeDocument/2006/relationships" name="Batch_Planner" sheetId="4" state="visible" r:id="rId4"/>
    <sheet xmlns:r="http://schemas.openxmlformats.org/officeDocument/2006/relationships" name="Vendor_Data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 &quot;SKU&quot;"/>
    <numFmt numFmtId="165" formatCode="&quot;IDR &quot;#,##0"/>
    <numFmt numFmtId="166" formatCode="0.0%"/>
    <numFmt numFmtId="167" formatCode="#,##0 &quot;pcs&quot;"/>
    <numFmt numFmtId="168" formatCode="0.0&quot;%&quot;"/>
    <numFmt numFmtId="169" formatCode="0 &quot;pcs&quot;"/>
    <numFmt numFmtId="170" formatCode="0 &quot;hari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475569"/>
      <sz val="9"/>
    </font>
    <font>
      <name val="Segoe UI"/>
      <b val="1"/>
      <color rgb="00047857"/>
      <sz val="15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</border>
    <border>
      <left style="thin">
        <color rgb="0094A3B8"/>
      </left>
      <right style="thin">
        <color rgb="0094A3B8"/>
      </right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5" fontId="7" fillId="7" borderId="3" applyAlignment="1" pivotButton="0" quotePrefix="0" xfId="0">
      <alignment horizontal="center" vertical="center" wrapText="1"/>
    </xf>
    <xf numFmtId="166" fontId="7" fillId="7" borderId="3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pivotButton="0" quotePrefix="0" xfId="0"/>
    <xf numFmtId="167" fontId="4" fillId="0" borderId="4" applyAlignment="1" pivotButton="0" quotePrefix="0" xfId="0">
      <alignment horizontal="center" vertical="center" wrapText="1"/>
    </xf>
    <xf numFmtId="165" fontId="4" fillId="7" borderId="4" applyAlignment="1" pivotButton="0" quotePrefix="0" xfId="0">
      <alignment horizontal="right" vertical="center"/>
    </xf>
    <xf numFmtId="166" fontId="4" fillId="0" borderId="4" applyAlignment="1" pivotButton="0" quotePrefix="0" xfId="0">
      <alignment horizontal="center" vertical="center" wrapText="1"/>
    </xf>
    <xf numFmtId="0" fontId="0" fillId="0" borderId="1" pivotButton="0" quotePrefix="0" xfId="0"/>
    <xf numFmtId="165" fontId="4" fillId="4" borderId="1" applyAlignment="1" pivotButton="0" quotePrefix="0" xfId="0">
      <alignment horizontal="right" vertical="center"/>
    </xf>
    <xf numFmtId="169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right" vertical="center"/>
    </xf>
    <xf numFmtId="17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0" customWidth="1" min="4" max="4"/>
    <col width="20" customWidth="1" min="5" max="5"/>
    <col width="20" customWidth="1" min="6" max="6"/>
    <col width="24" customWidth="1" min="7" max="7"/>
  </cols>
  <sheetData>
    <row r="2" ht="28" customHeight="1">
      <c r="B2" s="1" t="inlineStr">
        <is>
          <t>CLOTHING BRAND FINANCIAL &amp; PRODUCTION OPERATING SYSTEM</t>
        </is>
      </c>
    </row>
    <row r="3" ht="20" customHeight="1">
      <c r="B3" s="2" t="inlineStr">
        <is>
          <t>Panduan Operasional, Manajemen HPP, Struktur Pricing &amp; Analisis Impas (BEP) Koleksi</t>
        </is>
      </c>
    </row>
    <row r="5">
      <c r="B5" s="3" t="inlineStr">
        <is>
          <t>KODE WARNA SEL</t>
        </is>
      </c>
      <c r="D5" s="3" t="inlineStr">
        <is>
          <t>PANDUAN PENGISIAN &amp; ATURAN PENGGUNAAN</t>
        </is>
      </c>
    </row>
    <row r="6">
      <c r="B6" s="4" t="inlineStr">
        <is>
          <t>Sel Berwarna Kuning</t>
        </is>
      </c>
      <c r="D6" s="5" t="inlineStr">
        <is>
          <t>Sel Input Manual: Masukkan angka real biaya vendor, harga bahan, dan target margin Anda.</t>
        </is>
      </c>
    </row>
    <row r="7">
      <c r="B7" s="6" t="inlineStr">
        <is>
          <t>Sel Putih / Abu-abu</t>
        </is>
      </c>
      <c r="D7" s="5" t="inlineStr">
        <is>
          <t>Sel Formula Otomatis: Dihitung langsung oleh spreadsheet. Jangan hapus atau ketik manual.</t>
        </is>
      </c>
    </row>
    <row r="8">
      <c r="B8" s="7" t="inlineStr">
        <is>
          <t>Sel Berwarna Hijau</t>
        </is>
      </c>
      <c r="D8" s="5" t="inlineStr">
        <is>
          <t>Key Indicator / Output Kunci: Menampilkan rekomendasi harga, laba bersih, dan titik impas.</t>
        </is>
      </c>
    </row>
    <row r="10">
      <c r="B10" s="3" t="inlineStr">
        <is>
          <t>ALUR KERJA PENGGUNAAN SPREADSHEET (SOP 5 LANGKAH)</t>
        </is>
      </c>
    </row>
    <row r="11">
      <c r="B11" s="8" t="inlineStr">
        <is>
          <t>Langkah 1: Riset Vendor</t>
        </is>
      </c>
      <c r="C11" s="5" t="inlineStr">
        <is>
          <t>Buka sheet 'Vendor_Database'. Catat nama vendor bahan, konveksi jahit, sablon, aksesoris, dan kontak WA.</t>
        </is>
      </c>
    </row>
    <row r="12">
      <c r="B12" s="8" t="inlineStr">
        <is>
          <t>Langkah 2: Hitung HPP Pokok</t>
        </is>
      </c>
      <c r="C12" s="5" t="inlineStr">
        <is>
          <t>Buka sheet 'HPP_Calculator'. Isi rincian kain, ongkos jahit, sablon, label, dan packaging per helai.</t>
        </is>
      </c>
    </row>
    <row r="13">
      <c r="B13" s="8" t="inlineStr">
        <is>
          <t>Langkah 3: Atur Target Margin</t>
        </is>
      </c>
      <c r="C13" s="5" t="inlineStr">
        <is>
          <t>Tentukan target margin kotor (rekomendasi retail 60%-70% untuk D2C, dan 30%-40% untuk reseller).</t>
        </is>
      </c>
    </row>
    <row r="14">
      <c r="B14" s="8" t="inlineStr">
        <is>
          <t>Langkah 4: Rancang Batch Rilis</t>
        </is>
      </c>
      <c r="C14" s="5" t="inlineStr">
        <is>
          <t>Buka sheet 'Batch_Planner'. Tentukan kuantiti rilis dan masukkan biaya tetap peluncuran (sample, foto, ads).</t>
        </is>
      </c>
    </row>
    <row r="15">
      <c r="B15" s="8" t="inlineStr">
        <is>
          <t>Langkah 5: Pantau KPI Dashboard</t>
        </is>
      </c>
      <c r="C15" s="5" t="inlineStr">
        <is>
          <t>Buka sheet 'Dashboard' untuk memantau performa portofolio produk, total investasi, dan target titik impas.</t>
        </is>
      </c>
    </row>
    <row r="17">
      <c r="B17" s="3" t="inlineStr">
        <is>
          <t>GLOSARIUM &amp; DEFINISI METRIK FINANSIAL</t>
        </is>
      </c>
    </row>
    <row r="18">
      <c r="B18" s="8" t="inlineStr">
        <is>
          <t>HPP (Cost of Goods Sold)</t>
        </is>
      </c>
      <c r="C18" s="5" t="inlineStr">
        <is>
          <t>Total biaya modal langsung yang melekat pada 1 helai baju (Kain + Jahit + Sablon + Aksesoris + Kemasan).</t>
        </is>
      </c>
    </row>
    <row r="19">
      <c r="B19" s="8" t="inlineStr">
        <is>
          <t>Margin Kotor (Gross Margin %)</t>
        </is>
      </c>
      <c r="C19" s="5" t="inlineStr">
        <is>
          <t>Persentase keuntungan sebelum dipotong operasional tetap: (Harga Jual - HPP) / Harga Jual.</t>
        </is>
      </c>
    </row>
    <row r="20">
      <c r="B20" s="8" t="inlineStr">
        <is>
          <t>Titik Impas (BEP Unit)</t>
        </is>
      </c>
      <c r="C20" s="5" t="inlineStr">
        <is>
          <t>Jumlah minimal helai pakaian yang wajib terjual habis agar modal awal batch kembali 100% tanpa rugi.</t>
        </is>
      </c>
    </row>
    <row r="21">
      <c r="B21" s="8" t="inlineStr">
        <is>
          <t>Titik Impas (BEP Rupiah)</t>
        </is>
      </c>
      <c r="C21" s="5" t="inlineStr">
        <is>
          <t>Jumlah omzet minimal yang harus masuk ke rekening sebelum bisnis menghasilkan laba bersih.</t>
        </is>
      </c>
    </row>
    <row r="22">
      <c r="B22" s="8" t="inlineStr">
        <is>
          <t>ROI (Return on Investment %)</t>
        </is>
      </c>
      <c r="C22" s="5" t="inlineStr">
        <is>
          <t>Tingkat pengembalian modal investasi peluncuran: (Proyeksi Laba Bersih / Total Investasi) x 100%.</t>
        </is>
      </c>
    </row>
  </sheetData>
  <mergeCells count="19">
    <mergeCell ref="B2:G2"/>
    <mergeCell ref="D8:G8"/>
    <mergeCell ref="C15:G15"/>
    <mergeCell ref="B17:G17"/>
    <mergeCell ref="C14:G14"/>
    <mergeCell ref="D5:G5"/>
    <mergeCell ref="B10:G10"/>
    <mergeCell ref="C20:G20"/>
    <mergeCell ref="C22:G22"/>
    <mergeCell ref="C21:G21"/>
    <mergeCell ref="C12:G12"/>
    <mergeCell ref="D6:G6"/>
    <mergeCell ref="C11:G11"/>
    <mergeCell ref="B3:G3"/>
    <mergeCell ref="B5:C5"/>
    <mergeCell ref="D7:G7"/>
    <mergeCell ref="C19:G19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24" customWidth="1" min="4" max="4"/>
    <col width="26" customWidth="1" min="5" max="5"/>
    <col width="26" customWidth="1" min="6" max="6"/>
    <col width="24" customWidth="1" min="7" max="7"/>
  </cols>
  <sheetData>
    <row r="2" ht="28" customHeight="1">
      <c r="B2" s="1" t="inlineStr">
        <is>
          <t>EXECUTIVE BRAND FINANCIAL DASHBOARD</t>
        </is>
      </c>
    </row>
    <row r="3" ht="18" customHeight="1">
      <c r="B3" s="2" t="inlineStr">
        <is>
          <t>Ringkasan Eksekutif Kinerja Portofolio Produk &amp; Proyeksi Batch Produksi</t>
        </is>
      </c>
    </row>
    <row r="5" ht="18" customHeight="1">
      <c r="B5" s="9" t="inlineStr">
        <is>
          <t>SKU AKTIF</t>
        </is>
      </c>
      <c r="C5" s="9" t="inlineStr">
        <is>
          <t>RATA-RATA HPP</t>
        </is>
      </c>
      <c r="D5" s="9" t="inlineStr">
        <is>
          <t>AVG MARGIN RETAIL</t>
        </is>
      </c>
      <c r="E5" s="9" t="inlineStr">
        <is>
          <t>MODAL INVESTASI BATCH</t>
        </is>
      </c>
      <c r="F5" s="9" t="inlineStr">
        <is>
          <t>PROYEKSI OMZET (SOLD OUT)</t>
        </is>
      </c>
      <c r="G5" s="9" t="inlineStr">
        <is>
          <t>PROYEKSI LABA BERSIH</t>
        </is>
      </c>
    </row>
    <row r="6" ht="28" customHeight="1">
      <c r="B6" s="10">
        <f>COUNTA(HPP_Calculator!C6:C10)</f>
        <v/>
      </c>
      <c r="C6" s="11">
        <f>AVERAGE(HPP_Calculator!N6:N10)</f>
        <v/>
      </c>
      <c r="D6" s="12">
        <f>AVERAGE(HPP_Calculator!R6:R10)</f>
        <v/>
      </c>
      <c r="E6" s="11">
        <f>Batch_Planner!F22</f>
        <v/>
      </c>
      <c r="F6" s="11">
        <f>Batch_Planner!F27</f>
        <v/>
      </c>
      <c r="G6" s="11">
        <f>Batch_Planner!F28</f>
        <v/>
      </c>
    </row>
    <row r="8">
      <c r="B8" s="3" t="inlineStr">
        <is>
          <t>RINGKASAN HARGA &amp; PROFITABILITAS PER PRODUK</t>
        </is>
      </c>
    </row>
    <row r="9" ht="24" customHeight="1">
      <c r="B9" s="13" t="inlineStr">
        <is>
          <t>Nama Produk</t>
        </is>
      </c>
      <c r="C9" s="13" t="inlineStr">
        <is>
          <t>Kategori</t>
        </is>
      </c>
      <c r="D9" s="13" t="inlineStr">
        <is>
          <t>HPP Satuan</t>
        </is>
      </c>
      <c r="E9" s="13" t="inlineStr">
        <is>
          <t>Harga Retail</t>
        </is>
      </c>
      <c r="F9" s="13" t="inlineStr">
        <is>
          <t>Laba Kotor (Retail)</t>
        </is>
      </c>
      <c r="G9" s="13" t="inlineStr">
        <is>
          <t>Margin Retail Real</t>
        </is>
      </c>
    </row>
    <row r="10" ht="20" customHeight="1">
      <c r="B10" s="8">
        <f>HPP_Calculator!C6</f>
        <v/>
      </c>
      <c r="C10" s="5">
        <f>HPP_Calculator!D6</f>
        <v/>
      </c>
      <c r="D10" s="14">
        <f>HPP_Calculator!N6</f>
        <v/>
      </c>
      <c r="E10" s="15">
        <f>HPP_Calculator!P6</f>
        <v/>
      </c>
      <c r="F10" s="16">
        <f>HPP_Calculator!Q6</f>
        <v/>
      </c>
      <c r="G10" s="17">
        <f>HPP_Calculator!R6</f>
        <v/>
      </c>
    </row>
    <row r="11" ht="20" customHeight="1">
      <c r="B11" s="8">
        <f>HPP_Calculator!C7</f>
        <v/>
      </c>
      <c r="C11" s="5">
        <f>HPP_Calculator!D7</f>
        <v/>
      </c>
      <c r="D11" s="14">
        <f>HPP_Calculator!N7</f>
        <v/>
      </c>
      <c r="E11" s="15">
        <f>HPP_Calculator!P7</f>
        <v/>
      </c>
      <c r="F11" s="16">
        <f>HPP_Calculator!Q7</f>
        <v/>
      </c>
      <c r="G11" s="17">
        <f>HPP_Calculator!R7</f>
        <v/>
      </c>
    </row>
    <row r="12" ht="20" customHeight="1">
      <c r="B12" s="8">
        <f>HPP_Calculator!C8</f>
        <v/>
      </c>
      <c r="C12" s="5">
        <f>HPP_Calculator!D8</f>
        <v/>
      </c>
      <c r="D12" s="14">
        <f>HPP_Calculator!N8</f>
        <v/>
      </c>
      <c r="E12" s="15">
        <f>HPP_Calculator!P8</f>
        <v/>
      </c>
      <c r="F12" s="16">
        <f>HPP_Calculator!Q8</f>
        <v/>
      </c>
      <c r="G12" s="17">
        <f>HPP_Calculator!R8</f>
        <v/>
      </c>
    </row>
    <row r="13" ht="20" customHeight="1">
      <c r="B13" s="8">
        <f>HPP_Calculator!C9</f>
        <v/>
      </c>
      <c r="C13" s="5">
        <f>HPP_Calculator!D9</f>
        <v/>
      </c>
      <c r="D13" s="14">
        <f>HPP_Calculator!N9</f>
        <v/>
      </c>
      <c r="E13" s="15">
        <f>HPP_Calculator!P9</f>
        <v/>
      </c>
      <c r="F13" s="16">
        <f>HPP_Calculator!Q9</f>
        <v/>
      </c>
      <c r="G13" s="17">
        <f>HPP_Calculator!R9</f>
        <v/>
      </c>
    </row>
    <row r="14" ht="20" customHeight="1">
      <c r="B14" s="8">
        <f>HPP_Calculator!C10</f>
        <v/>
      </c>
      <c r="C14" s="5">
        <f>HPP_Calculator!D10</f>
        <v/>
      </c>
      <c r="D14" s="14">
        <f>HPP_Calculator!N10</f>
        <v/>
      </c>
      <c r="E14" s="15">
        <f>HPP_Calculator!P10</f>
        <v/>
      </c>
      <c r="F14" s="16">
        <f>HPP_Calculator!Q10</f>
        <v/>
      </c>
      <c r="G14" s="17">
        <f>HPP_Calculator!R10</f>
        <v/>
      </c>
    </row>
    <row r="16">
      <c r="B16" s="3" t="inlineStr">
        <is>
          <t>ANALISIS SKENARIO PENJUALAN BATCH (STRESS TEST)</t>
        </is>
      </c>
    </row>
    <row r="17" ht="24" customHeight="1">
      <c r="B17" s="13" t="inlineStr">
        <is>
          <t>Skenario Penjualan</t>
        </is>
      </c>
      <c r="C17" s="13" t="inlineStr">
        <is>
          <t>Tingkat Keterjualan</t>
        </is>
      </c>
      <c r="D17" s="13" t="inlineStr">
        <is>
          <t>Total Helai Terjual</t>
        </is>
      </c>
      <c r="E17" s="13" t="inlineStr">
        <is>
          <t>Total Omzet Masuk</t>
        </is>
      </c>
      <c r="F17" s="13" t="inlineStr">
        <is>
          <t>Laba / Rugi Bersih</t>
        </is>
      </c>
      <c r="G17" s="13" t="inlineStr">
        <is>
          <t>ROI Batch</t>
        </is>
      </c>
    </row>
    <row r="18" ht="20" customHeight="1">
      <c r="B18" s="8" t="inlineStr">
        <is>
          <t>Skenario 1: Sold Out Penuh (Optimis)</t>
        </is>
      </c>
      <c r="C18" s="18" t="n">
        <v>1</v>
      </c>
      <c r="D18" s="19">
        <f>ROUND(Batch_Planner!D11*1.0, 0)</f>
        <v/>
      </c>
      <c r="E18" s="15">
        <f>ROUND(Batch_Planner!F27*1.0, -2)</f>
        <v/>
      </c>
      <c r="F18" s="16">
        <f>E18-Batch_Planner!F22</f>
        <v/>
      </c>
      <c r="G18" s="20">
        <f>ROUND((F18/Batch_Planner!F22)*100, 1)</f>
        <v/>
      </c>
    </row>
    <row r="19" ht="20" customHeight="1">
      <c r="B19" s="8" t="inlineStr">
        <is>
          <t>Skenario 2: Terjual 75% (Moderat)</t>
        </is>
      </c>
      <c r="C19" s="18" t="n">
        <v>0.75</v>
      </c>
      <c r="D19" s="19">
        <f>ROUND(Batch_Planner!D11*0.75, 0)</f>
        <v/>
      </c>
      <c r="E19" s="15">
        <f>ROUND(Batch_Planner!F27*0.75, -2)</f>
        <v/>
      </c>
      <c r="F19" s="16">
        <f>E19-Batch_Planner!F22</f>
        <v/>
      </c>
      <c r="G19" s="20">
        <f>ROUND((F19/Batch_Planner!F22)*100, 1)</f>
        <v/>
      </c>
    </row>
    <row r="20" ht="20" customHeight="1">
      <c r="B20" s="8" t="inlineStr">
        <is>
          <t>Skenario 3: Terjual 50% (Konservatif / Titik Impas)</t>
        </is>
      </c>
      <c r="C20" s="18" t="n">
        <v>0.5</v>
      </c>
      <c r="D20" s="19">
        <f>ROUND(Batch_Planner!D11*0.5, 0)</f>
        <v/>
      </c>
      <c r="E20" s="15">
        <f>ROUND(Batch_Planner!F27*0.5, -2)</f>
        <v/>
      </c>
      <c r="F20" s="16">
        <f>E20-Batch_Planner!F22</f>
        <v/>
      </c>
      <c r="G20" s="20">
        <f>ROUND((F20/Batch_Planner!F22)*100, 1)</f>
        <v/>
      </c>
    </row>
    <row r="21" ht="20" customHeight="1">
      <c r="B21" s="8" t="inlineStr">
        <is>
          <t>Skenario 4: Terjual 30% (Skenario Buruk)</t>
        </is>
      </c>
      <c r="C21" s="18" t="n">
        <v>0.3</v>
      </c>
      <c r="D21" s="19">
        <f>ROUND(Batch_Planner!D11*0.3, 0)</f>
        <v/>
      </c>
      <c r="E21" s="15">
        <f>ROUND(Batch_Planner!F27*0.3, -2)</f>
        <v/>
      </c>
      <c r="F21" s="15">
        <f>E21-Batch_Planner!F22</f>
        <v/>
      </c>
      <c r="G21" s="20">
        <f>ROUND((F21/Batch_Planner!F22)*100, 1)</f>
        <v/>
      </c>
    </row>
  </sheetData>
  <mergeCells count="4">
    <mergeCell ref="B3:G3"/>
    <mergeCell ref="B2:G2"/>
    <mergeCell ref="B8:G8"/>
    <mergeCell ref="B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12" customWidth="1" min="4" max="4"/>
    <col width="22" customWidth="1" min="5" max="5"/>
    <col width="14" customWidth="1" min="6" max="6"/>
    <col width="11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6" customWidth="1" min="15" max="15"/>
    <col width="17" customWidth="1" min="16" max="16"/>
    <col width="18" customWidth="1" min="17" max="17"/>
    <col width="18" customWidth="1" min="18" max="18"/>
    <col width="17" customWidth="1" min="19" max="19"/>
    <col width="16" customWidth="1" min="20" max="20"/>
  </cols>
  <sheetData>
    <row r="2" ht="28" customHeight="1">
      <c r="B2" s="1" t="inlineStr">
        <is>
          <t>KALKULATOR HPP &amp; PENETAPAN HARGA MULTI-PRODUK (COST OF GOODS SOLD)</t>
        </is>
      </c>
    </row>
    <row r="3" ht="18" customHeight="1">
      <c r="B3" s="2" t="inlineStr">
        <is>
          <t>Rincian Biaya Pokok Kain, Jahit, Sablon, Aksesoris, Kemasan &amp; Struktur Pricing Retail/Reseller</t>
        </is>
      </c>
    </row>
    <row r="4" ht="20" customHeight="1">
      <c r="B4" s="21" t="inlineStr">
        <is>
          <t>No</t>
        </is>
      </c>
      <c r="C4" s="22" t="inlineStr">
        <is>
          <t>Nama Produk</t>
        </is>
      </c>
      <c r="D4" s="22" t="inlineStr">
        <is>
          <t>Kategori</t>
        </is>
      </c>
      <c r="E4" s="22" t="inlineStr">
        <is>
          <t>Material Kain</t>
        </is>
      </c>
      <c r="F4" s="21" t="inlineStr">
        <is>
          <t>Biaya Bahan Kain</t>
        </is>
      </c>
      <c r="H4" s="23" t="inlineStr">
        <is>
          <t>Ongkos Jahit</t>
        </is>
      </c>
      <c r="I4" s="23" t="inlineStr">
        <is>
          <t>Sablon / Bordir</t>
        </is>
      </c>
      <c r="J4" s="23" t="inlineStr">
        <is>
          <t>Label &amp; Hangtag</t>
        </is>
      </c>
      <c r="K4" s="23" t="inlineStr">
        <is>
          <t>Plastik Ziplock</t>
        </is>
      </c>
      <c r="L4" s="23" t="inlineStr">
        <is>
          <t>Polymailer Kurir</t>
        </is>
      </c>
      <c r="M4" s="23" t="inlineStr">
        <is>
          <t>QC &amp; Finishing</t>
        </is>
      </c>
      <c r="N4" s="23" t="inlineStr">
        <is>
          <t>Total HPP Satuan</t>
        </is>
      </c>
      <c r="O4" s="21" t="inlineStr">
        <is>
          <t>Target Margin (%)</t>
        </is>
      </c>
      <c r="P4" s="23" t="inlineStr">
        <is>
          <t>Harga Retail</t>
        </is>
      </c>
      <c r="Q4" s="23" t="inlineStr">
        <is>
          <t>Laba Kotor Retail</t>
        </is>
      </c>
      <c r="R4" s="21" t="inlineStr">
        <is>
          <t>Margin Retail Real</t>
        </is>
      </c>
      <c r="S4" s="23" t="inlineStr">
        <is>
          <t>Harga Reseller</t>
        </is>
      </c>
      <c r="T4" s="21" t="inlineStr">
        <is>
          <t>Margin Reseller</t>
        </is>
      </c>
    </row>
    <row r="5" ht="20" customHeight="1">
      <c r="F5" s="23" t="inlineStr">
        <is>
          <t>Harga/Kg/Yd</t>
        </is>
      </c>
      <c r="G5" s="21" t="inlineStr">
        <is>
          <t>Konsumsi</t>
        </is>
      </c>
    </row>
    <row r="6" ht="22" customHeight="1">
      <c r="B6" s="24" t="n">
        <v>1</v>
      </c>
      <c r="C6" s="25" t="inlineStr">
        <is>
          <t>Boxy Heavy T-Shirt</t>
        </is>
      </c>
      <c r="D6" s="25" t="inlineStr">
        <is>
          <t>Kaos</t>
        </is>
      </c>
      <c r="E6" s="25" t="inlineStr">
        <is>
          <t>Combed 16s (240 gsm)</t>
        </is>
      </c>
      <c r="F6" s="26" t="n">
        <v>58000</v>
      </c>
      <c r="G6" s="27" t="n">
        <v>0.38</v>
      </c>
      <c r="H6" s="26" t="n">
        <v>16000</v>
      </c>
      <c r="I6" s="26" t="n">
        <v>13000</v>
      </c>
      <c r="J6" s="26" t="n">
        <v>2200</v>
      </c>
      <c r="K6" s="26" t="n">
        <v>2500</v>
      </c>
      <c r="L6" s="26" t="n">
        <v>800</v>
      </c>
      <c r="M6" s="26" t="n">
        <v>1500</v>
      </c>
      <c r="N6" s="28">
        <f>ROUND((F6*G6)+SUM(H6:M6), 0)</f>
        <v/>
      </c>
      <c r="O6" s="29" t="n">
        <v>0.65</v>
      </c>
      <c r="P6" s="28">
        <f>ROUND(N6/(1-O6), -2)</f>
        <v/>
      </c>
      <c r="Q6" s="16">
        <f>P6-N6</f>
        <v/>
      </c>
      <c r="R6" s="30">
        <f>Q6/P6</f>
        <v/>
      </c>
      <c r="S6" s="31">
        <f>ROUND(N6*1.35, -2)</f>
        <v/>
      </c>
      <c r="T6" s="32">
        <f>(S6-N6)/S6</f>
        <v/>
      </c>
    </row>
    <row r="7" ht="22" customHeight="1">
      <c r="B7" s="24" t="n">
        <v>2</v>
      </c>
      <c r="C7" s="25" t="inlineStr">
        <is>
          <t>Classic Regular T-Shirt</t>
        </is>
      </c>
      <c r="D7" s="25" t="inlineStr">
        <is>
          <t>Kaos</t>
        </is>
      </c>
      <c r="E7" s="25" t="inlineStr">
        <is>
          <t>Combed 24s (180 gsm)</t>
        </is>
      </c>
      <c r="F7" s="26" t="n">
        <v>48000</v>
      </c>
      <c r="G7" s="27" t="n">
        <v>0.33</v>
      </c>
      <c r="H7" s="26" t="n">
        <v>14000</v>
      </c>
      <c r="I7" s="26" t="n">
        <v>11000</v>
      </c>
      <c r="J7" s="26" t="n">
        <v>2200</v>
      </c>
      <c r="K7" s="26" t="n">
        <v>2500</v>
      </c>
      <c r="L7" s="26" t="n">
        <v>800</v>
      </c>
      <c r="M7" s="26" t="n">
        <v>1200</v>
      </c>
      <c r="N7" s="28">
        <f>ROUND((F7*G7)+SUM(H7:M7), 0)</f>
        <v/>
      </c>
      <c r="O7" s="29" t="n">
        <v>0.6</v>
      </c>
      <c r="P7" s="28">
        <f>ROUND(N7/(1-O7), -2)</f>
        <v/>
      </c>
      <c r="Q7" s="16">
        <f>P7-N7</f>
        <v/>
      </c>
      <c r="R7" s="30">
        <f>Q7/P7</f>
        <v/>
      </c>
      <c r="S7" s="31">
        <f>ROUND(N7*1.35, -2)</f>
        <v/>
      </c>
      <c r="T7" s="32">
        <f>(S7-N7)/S7</f>
        <v/>
      </c>
    </row>
    <row r="8" ht="22" customHeight="1">
      <c r="B8" s="24" t="n">
        <v>3</v>
      </c>
      <c r="C8" s="25" t="inlineStr">
        <is>
          <t>Pullover Heavy Hoodie</t>
        </is>
      </c>
      <c r="D8" s="25" t="inlineStr">
        <is>
          <t>Outerwear</t>
        </is>
      </c>
      <c r="E8" s="25" t="inlineStr">
        <is>
          <t>Cotton Fleece 330 gsm</t>
        </is>
      </c>
      <c r="F8" s="26" t="n">
        <v>85000</v>
      </c>
      <c r="G8" s="27" t="n">
        <v>0.85</v>
      </c>
      <c r="H8" s="26" t="n">
        <v>32000</v>
      </c>
      <c r="I8" s="26" t="n">
        <v>18000</v>
      </c>
      <c r="J8" s="26" t="n">
        <v>3000</v>
      </c>
      <c r="K8" s="26" t="n">
        <v>3500</v>
      </c>
      <c r="L8" s="26" t="n">
        <v>1200</v>
      </c>
      <c r="M8" s="26" t="n">
        <v>2500</v>
      </c>
      <c r="N8" s="28">
        <f>ROUND((F8*G8)+SUM(H8:M8), 0)</f>
        <v/>
      </c>
      <c r="O8" s="29" t="n">
        <v>0.65</v>
      </c>
      <c r="P8" s="28">
        <f>ROUND(N8/(1-O8), -2)</f>
        <v/>
      </c>
      <c r="Q8" s="16">
        <f>P8-N8</f>
        <v/>
      </c>
      <c r="R8" s="30">
        <f>Q8/P8</f>
        <v/>
      </c>
      <c r="S8" s="31">
        <f>ROUND(N8*1.35, -2)</f>
        <v/>
      </c>
      <c r="T8" s="32">
        <f>(S8-N8)/S8</f>
        <v/>
      </c>
    </row>
    <row r="9" ht="22" customHeight="1">
      <c r="B9" s="24" t="n">
        <v>4</v>
      </c>
      <c r="C9" s="25" t="inlineStr">
        <is>
          <t>Worker Utility Overshirt</t>
        </is>
      </c>
      <c r="D9" s="25" t="inlineStr">
        <is>
          <t>Kemeja</t>
        </is>
      </c>
      <c r="E9" s="25" t="inlineStr">
        <is>
          <t>Baby Canvas Twill</t>
        </is>
      </c>
      <c r="F9" s="26" t="n">
        <v>42000</v>
      </c>
      <c r="G9" s="27" t="n">
        <v>1.4</v>
      </c>
      <c r="H9" s="26" t="n">
        <v>35000</v>
      </c>
      <c r="I9" s="26" t="n">
        <v>12000</v>
      </c>
      <c r="J9" s="26" t="n">
        <v>3000</v>
      </c>
      <c r="K9" s="26" t="n">
        <v>3000</v>
      </c>
      <c r="L9" s="26" t="n">
        <v>1000</v>
      </c>
      <c r="M9" s="26" t="n">
        <v>2500</v>
      </c>
      <c r="N9" s="28">
        <f>ROUND((F9*G9)+SUM(H9:M9), 0)</f>
        <v/>
      </c>
      <c r="O9" s="29" t="n">
        <v>0.6</v>
      </c>
      <c r="P9" s="28">
        <f>ROUND(N9/(1-O9), -2)</f>
        <v/>
      </c>
      <c r="Q9" s="16">
        <f>P9-N9</f>
        <v/>
      </c>
      <c r="R9" s="30">
        <f>Q9/P9</f>
        <v/>
      </c>
      <c r="S9" s="31">
        <f>ROUND(N9*1.35, -2)</f>
        <v/>
      </c>
      <c r="T9" s="32">
        <f>(S9-N9)/S9</f>
        <v/>
      </c>
    </row>
    <row r="10" ht="22" customHeight="1">
      <c r="B10" s="24" t="n">
        <v>5</v>
      </c>
      <c r="C10" s="25" t="inlineStr">
        <is>
          <t>Tactical Cargo Pants</t>
        </is>
      </c>
      <c r="D10" s="25" t="inlineStr">
        <is>
          <t>Celana</t>
        </is>
      </c>
      <c r="E10" s="25" t="inlineStr">
        <is>
          <t>Cotton Ripstop</t>
        </is>
      </c>
      <c r="F10" s="26" t="n">
        <v>40000</v>
      </c>
      <c r="G10" s="27" t="n">
        <v>1.6</v>
      </c>
      <c r="H10" s="26" t="n">
        <v>42000</v>
      </c>
      <c r="I10" s="26" t="n">
        <v>8000</v>
      </c>
      <c r="J10" s="26" t="n">
        <v>3500</v>
      </c>
      <c r="K10" s="26" t="n">
        <v>3000</v>
      </c>
      <c r="L10" s="26" t="n">
        <v>1000</v>
      </c>
      <c r="M10" s="26" t="n">
        <v>3000</v>
      </c>
      <c r="N10" s="28">
        <f>ROUND((F10*G10)+SUM(H10:M10), 0)</f>
        <v/>
      </c>
      <c r="O10" s="29" t="n">
        <v>0.6</v>
      </c>
      <c r="P10" s="28">
        <f>ROUND(N10/(1-O10), -2)</f>
        <v/>
      </c>
      <c r="Q10" s="16">
        <f>P10-N10</f>
        <v/>
      </c>
      <c r="R10" s="30">
        <f>Q10/P10</f>
        <v/>
      </c>
      <c r="S10" s="31">
        <f>ROUND(N10*1.35, -2)</f>
        <v/>
      </c>
      <c r="T10" s="32">
        <f>(S10-N10)/S10</f>
        <v/>
      </c>
    </row>
  </sheetData>
  <mergeCells count="20">
    <mergeCell ref="F4:G4"/>
    <mergeCell ref="R4:R5"/>
    <mergeCell ref="C4:C5"/>
    <mergeCell ref="T4:T5"/>
    <mergeCell ref="E4:E5"/>
    <mergeCell ref="O4:O5"/>
    <mergeCell ref="Q4:Q5"/>
    <mergeCell ref="D4:D5"/>
    <mergeCell ref="J4:J5"/>
    <mergeCell ref="L4:L5"/>
    <mergeCell ref="B3:T3"/>
    <mergeCell ref="I4:I5"/>
    <mergeCell ref="K4:K5"/>
    <mergeCell ref="S4:S5"/>
    <mergeCell ref="B2:T2"/>
    <mergeCell ref="M4:M5"/>
    <mergeCell ref="B4:B5"/>
    <mergeCell ref="H4:H5"/>
    <mergeCell ref="N4:N5"/>
    <mergeCell ref="P4:P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22" customWidth="1" min="5" max="5"/>
    <col width="24" customWidth="1" min="6" max="6"/>
    <col width="20" customWidth="1" min="7" max="7"/>
  </cols>
  <sheetData>
    <row r="2" ht="28" customHeight="1">
      <c r="B2" s="1" t="inlineStr">
        <is>
          <t>PERENCANAAN BATCH PRODUKSI &amp; TITIK IMPAS (BEP)</t>
        </is>
      </c>
    </row>
    <row r="3" ht="18" customHeight="1">
      <c r="B3" s="2" t="inlineStr">
        <is>
          <t>Alokasi Volume Batch, Rincian Biaya Tetap Peluncuran &amp; Analisis Titik Impas (BEP)</t>
        </is>
      </c>
    </row>
    <row r="4">
      <c r="B4" s="3" t="inlineStr">
        <is>
          <t>BAGIAN 1: ALOKASI RENCANA KUANTITI PRODUKSI SATU BATCH (DROP)</t>
        </is>
      </c>
    </row>
    <row r="5" ht="22" customHeight="1">
      <c r="B5" s="13" t="inlineStr">
        <is>
          <t>No</t>
        </is>
      </c>
      <c r="C5" s="13" t="inlineStr">
        <is>
          <t>Nama Produk</t>
        </is>
      </c>
      <c r="D5" s="13" t="inlineStr">
        <is>
          <t>Target Qty (Pcs)</t>
        </is>
      </c>
      <c r="E5" s="13" t="inlineStr">
        <is>
          <t>HPP per Helai</t>
        </is>
      </c>
      <c r="F5" s="13" t="inlineStr">
        <is>
          <t>Total Modal Fisik</t>
        </is>
      </c>
      <c r="G5" s="13" t="inlineStr">
        <is>
          <t>Porsi Volume (%)</t>
        </is>
      </c>
    </row>
    <row r="6" ht="20" customHeight="1">
      <c r="B6" s="24" t="n">
        <v>1</v>
      </c>
      <c r="C6" s="8">
        <f>HPP_Calculator!C6</f>
        <v/>
      </c>
      <c r="D6" s="33" t="n">
        <v>100</v>
      </c>
      <c r="E6" s="14">
        <f>HPP_Calculator!N6</f>
        <v/>
      </c>
      <c r="F6" s="28">
        <f>D6*E6</f>
        <v/>
      </c>
      <c r="G6" s="34">
        <f>D6/$D$11</f>
        <v/>
      </c>
    </row>
    <row r="7" ht="20" customHeight="1">
      <c r="B7" s="24" t="n">
        <v>2</v>
      </c>
      <c r="C7" s="8">
        <f>HPP_Calculator!C7</f>
        <v/>
      </c>
      <c r="D7" s="33" t="n">
        <v>100</v>
      </c>
      <c r="E7" s="14">
        <f>HPP_Calculator!N7</f>
        <v/>
      </c>
      <c r="F7" s="28">
        <f>D7*E7</f>
        <v/>
      </c>
      <c r="G7" s="34">
        <f>D7/$D$11</f>
        <v/>
      </c>
    </row>
    <row r="8" ht="20" customHeight="1">
      <c r="B8" s="24" t="n">
        <v>3</v>
      </c>
      <c r="C8" s="8">
        <f>HPP_Calculator!C8</f>
        <v/>
      </c>
      <c r="D8" s="33" t="n">
        <v>50</v>
      </c>
      <c r="E8" s="14">
        <f>HPP_Calculator!N8</f>
        <v/>
      </c>
      <c r="F8" s="28">
        <f>D8*E8</f>
        <v/>
      </c>
      <c r="G8" s="34">
        <f>D8/$D$11</f>
        <v/>
      </c>
    </row>
    <row r="9" ht="20" customHeight="1">
      <c r="B9" s="24" t="n">
        <v>4</v>
      </c>
      <c r="C9" s="8">
        <f>HPP_Calculator!C9</f>
        <v/>
      </c>
      <c r="D9" s="33" t="n">
        <v>40</v>
      </c>
      <c r="E9" s="14">
        <f>HPP_Calculator!N9</f>
        <v/>
      </c>
      <c r="F9" s="28">
        <f>D9*E9</f>
        <v/>
      </c>
      <c r="G9" s="34">
        <f>D9/$D$11</f>
        <v/>
      </c>
    </row>
    <row r="10" ht="20" customHeight="1">
      <c r="B10" s="24" t="n">
        <v>5</v>
      </c>
      <c r="C10" s="8">
        <f>HPP_Calculator!C10</f>
        <v/>
      </c>
      <c r="D10" s="33" t="n">
        <v>40</v>
      </c>
      <c r="E10" s="14">
        <f>HPP_Calculator!N10</f>
        <v/>
      </c>
      <c r="F10" s="28">
        <f>D10*E10</f>
        <v/>
      </c>
      <c r="G10" s="34">
        <f>D10/$D$11</f>
        <v/>
      </c>
    </row>
    <row r="11" ht="22" customHeight="1">
      <c r="B11" s="35" t="inlineStr">
        <is>
          <t>TOTAL MODAL FISIK BATCH</t>
        </is>
      </c>
      <c r="C11" s="36" t="n"/>
      <c r="D11" s="37">
        <f>SUM(D6:D10)</f>
        <v/>
      </c>
      <c r="E11" s="36" t="inlineStr"/>
      <c r="F11" s="38">
        <f>SUM(F6:F10)</f>
        <v/>
      </c>
      <c r="G11" s="39">
        <f>SUM(G6:G10)</f>
        <v/>
      </c>
    </row>
    <row r="13">
      <c r="B13" s="3" t="inlineStr">
        <is>
          <t>BAGIAN 2: BIAYA TETAP PELUNCURAN KOLEKSI (FIXED COSTS)</t>
        </is>
      </c>
    </row>
    <row r="14" ht="20" customHeight="1">
      <c r="B14" s="8" t="inlineStr">
        <is>
          <t>Pembuatan Pola Mentah &amp; Prototyping Sample</t>
        </is>
      </c>
      <c r="C14" s="40" t="n"/>
      <c r="D14" s="5" t="inlineStr">
        <is>
          <t>Biaya jasa tukang pola &amp; sample awal 5 produk</t>
        </is>
      </c>
      <c r="E14" s="40" t="n"/>
      <c r="F14" s="41" t="n">
        <v>750000</v>
      </c>
      <c r="G14" s="40" t="n"/>
    </row>
    <row r="15" ht="20" customHeight="1">
      <c r="B15" s="8" t="inlineStr">
        <is>
          <t>Sewa Studio &amp; Model Foto Lookbook</t>
        </is>
      </c>
      <c r="C15" s="40" t="n"/>
      <c r="D15" s="5" t="inlineStr">
        <is>
          <t>Sewa 1 shift studio foto &amp; model katalog komersial</t>
        </is>
      </c>
      <c r="E15" s="40" t="n"/>
      <c r="F15" s="41" t="n">
        <v>1800000</v>
      </c>
      <c r="G15" s="40" t="n"/>
    </row>
    <row r="16" ht="20" customHeight="1">
      <c r="B16" s="8" t="inlineStr">
        <is>
          <t>Anggaran Iklan Digital (Meta/TikTok Ads)</t>
        </is>
      </c>
      <c r="C16" s="40" t="n"/>
      <c r="D16" s="5" t="inlineStr">
        <is>
          <t>Anggaran ads berbayar untuk periode rilis 14 hari</t>
        </is>
      </c>
      <c r="E16" s="40" t="n"/>
      <c r="F16" s="41" t="n">
        <v>1500000</v>
      </c>
      <c r="G16" s="40" t="n"/>
    </row>
    <row r="17" ht="20" customHeight="1">
      <c r="B17" s="8" t="inlineStr">
        <is>
          <t>Seeding Influencer &amp; Creator Gifting</t>
        </is>
      </c>
      <c r="C17" s="40" t="n"/>
      <c r="D17" s="5" t="inlineStr">
        <is>
          <t>Biaya logistik &amp; gift box khusus 10 kreator fesyen</t>
        </is>
      </c>
      <c r="E17" s="40" t="n"/>
      <c r="F17" s="41" t="n">
        <v>600000</v>
      </c>
      <c r="G17" s="40" t="n"/>
    </row>
    <row r="18" ht="20" customHeight="1">
      <c r="B18" s="8" t="inlineStr">
        <is>
          <t>Buffer Operasional &amp; Lakban/Dus Cadangan</t>
        </is>
      </c>
      <c r="C18" s="40" t="n"/>
      <c r="D18" s="5" t="inlineStr">
        <is>
          <t>Dana darurat operasional packing dan retur awal</t>
        </is>
      </c>
      <c r="E18" s="40" t="n"/>
      <c r="F18" s="41" t="n">
        <v>350000</v>
      </c>
      <c r="G18" s="40" t="n"/>
    </row>
    <row r="19" ht="22" customHeight="1">
      <c r="B19" s="35" t="inlineStr">
        <is>
          <t>TOTAL BIAYA TETAP PELUNCURAN</t>
        </is>
      </c>
      <c r="C19" s="36" t="n"/>
      <c r="D19" s="36" t="n"/>
      <c r="E19" s="36" t="n"/>
      <c r="F19" s="38">
        <f>SUM(F14:F18)</f>
        <v/>
      </c>
      <c r="G19" s="36" t="n"/>
    </row>
    <row r="21">
      <c r="B21" s="3" t="inlineStr">
        <is>
          <t>BAGIAN 3: ANALISIS TITIK IMPAS (BEP) &amp; PROYEKSI LABA BATCH</t>
        </is>
      </c>
    </row>
    <row r="22" ht="24" customHeight="1">
      <c r="B22" s="8" t="inlineStr">
        <is>
          <t>TOTAL MODAL INVESTASI BATCH (FISIK + BIAYA TETAP)</t>
        </is>
      </c>
      <c r="C22" s="40" t="n"/>
      <c r="D22" s="40" t="n"/>
      <c r="E22" s="40" t="n"/>
      <c r="F22" s="28">
        <f>F11+F19</f>
        <v/>
      </c>
      <c r="G22" s="40" t="n"/>
    </row>
    <row r="23" ht="24" customHeight="1">
      <c r="B23" s="8" t="inlineStr">
        <is>
          <t>Rata-Rata Margin Kotor Retail per Helai</t>
        </is>
      </c>
      <c r="C23" s="40" t="n"/>
      <c r="D23" s="40" t="n"/>
      <c r="E23" s="40" t="n"/>
      <c r="F23" s="28">
        <f>AVERAGE(HPP_Calculator!Q6:Q10)</f>
        <v/>
      </c>
      <c r="G23" s="40" t="n"/>
    </row>
    <row r="24" ht="24" customHeight="1">
      <c r="B24" s="8" t="inlineStr">
        <is>
          <t>Rata-Rata Harga Jual Retail Koleksi</t>
        </is>
      </c>
      <c r="C24" s="40" t="n"/>
      <c r="D24" s="40" t="n"/>
      <c r="E24" s="40" t="n"/>
      <c r="F24" s="28">
        <f>AVERAGE(HPP_Calculator!P6:P10)</f>
        <v/>
      </c>
      <c r="G24" s="40" t="n"/>
    </row>
    <row r="25" ht="24" customHeight="1">
      <c r="B25" s="8" t="inlineStr">
        <is>
          <t>TITIK IMPAS (BEP) DALAM UNIT HELAI</t>
        </is>
      </c>
      <c r="C25" s="40" t="n"/>
      <c r="D25" s="40" t="n"/>
      <c r="E25" s="40" t="n"/>
      <c r="F25" s="42">
        <f>ROUNDUP(F19/F23, 0)</f>
        <v/>
      </c>
      <c r="G25" s="40" t="n"/>
    </row>
    <row r="26" ht="24" customHeight="1">
      <c r="B26" s="8" t="inlineStr">
        <is>
          <t>TITIK IMPAS (BEP) DALAM OMZET PENJUALAN</t>
        </is>
      </c>
      <c r="C26" s="40" t="n"/>
      <c r="D26" s="40" t="n"/>
      <c r="E26" s="40" t="n"/>
      <c r="F26" s="16">
        <f>F25*F24</f>
        <v/>
      </c>
      <c r="G26" s="40" t="n"/>
    </row>
    <row r="27" ht="24" customHeight="1">
      <c r="B27" s="8" t="inlineStr">
        <is>
          <t>POTENSI OMZET MAKSIMAL (100% SOLD OUT)</t>
        </is>
      </c>
      <c r="C27" s="40" t="n"/>
      <c r="D27" s="40" t="n"/>
      <c r="E27" s="40" t="n"/>
      <c r="F27" s="28">
        <f>SUMPRODUCT(D6:D10, HPP_Calculator!P6:P10)</f>
        <v/>
      </c>
      <c r="G27" s="40" t="n"/>
    </row>
    <row r="28" ht="24" customHeight="1">
      <c r="B28" s="8" t="inlineStr">
        <is>
          <t>PROYEKSI LABA BERSIH BATCH (NET PROFIT)</t>
        </is>
      </c>
      <c r="C28" s="40" t="n"/>
      <c r="D28" s="40" t="n"/>
      <c r="E28" s="40" t="n"/>
      <c r="F28" s="43">
        <f>F27-F22</f>
        <v/>
      </c>
      <c r="G28" s="40" t="n"/>
    </row>
    <row r="29" ht="24" customHeight="1">
      <c r="B29" s="8" t="inlineStr">
        <is>
          <t>ESTIMASI ROI INVESTASI BATCH (%)</t>
        </is>
      </c>
      <c r="C29" s="40" t="n"/>
      <c r="D29" s="40" t="n"/>
      <c r="E29" s="40" t="n"/>
      <c r="F29" s="44">
        <f>ROUND((F28/F22)*100, 1)</f>
        <v/>
      </c>
      <c r="G29" s="40" t="n"/>
    </row>
  </sheetData>
  <mergeCells count="39">
    <mergeCell ref="B2:G2"/>
    <mergeCell ref="B16:C16"/>
    <mergeCell ref="F29:G29"/>
    <mergeCell ref="F16:G16"/>
    <mergeCell ref="F19:G19"/>
    <mergeCell ref="F25:G25"/>
    <mergeCell ref="B24:E24"/>
    <mergeCell ref="B13:G13"/>
    <mergeCell ref="B18:C18"/>
    <mergeCell ref="B26:E26"/>
    <mergeCell ref="F24:G24"/>
    <mergeCell ref="B11:C11"/>
    <mergeCell ref="F15:G15"/>
    <mergeCell ref="F18:G18"/>
    <mergeCell ref="B14:C14"/>
    <mergeCell ref="B25:E25"/>
    <mergeCell ref="B17:C17"/>
    <mergeCell ref="F26:G26"/>
    <mergeCell ref="D17:E17"/>
    <mergeCell ref="F17:G17"/>
    <mergeCell ref="B22:E22"/>
    <mergeCell ref="D16:E16"/>
    <mergeCell ref="B27:E27"/>
    <mergeCell ref="F23:G23"/>
    <mergeCell ref="B4:G4"/>
    <mergeCell ref="F22:G22"/>
    <mergeCell ref="F28:G28"/>
    <mergeCell ref="D18:E18"/>
    <mergeCell ref="F27:G27"/>
    <mergeCell ref="B3:G3"/>
    <mergeCell ref="B23:E23"/>
    <mergeCell ref="B15:C15"/>
    <mergeCell ref="D15:E15"/>
    <mergeCell ref="B29:E29"/>
    <mergeCell ref="D14:E14"/>
    <mergeCell ref="F14:G14"/>
    <mergeCell ref="B19:E19"/>
    <mergeCell ref="B21:G21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20" customWidth="1" min="4" max="4"/>
    <col width="18" customWidth="1" min="5" max="5"/>
    <col width="16" customWidth="1" min="6" max="6"/>
    <col width="22" customWidth="1" min="7" max="7"/>
    <col width="16" customWidth="1" min="8" max="8"/>
    <col width="45" customWidth="1" min="9" max="9"/>
  </cols>
  <sheetData>
    <row r="2" ht="28" customHeight="1">
      <c r="B2" s="1" t="inlineStr">
        <is>
          <t>DATABASE VENDOR &amp; REKANAN PRODUKSI CLOTHING</t>
        </is>
      </c>
    </row>
    <row r="3" ht="18" customHeight="1">
      <c r="B3" s="2" t="inlineStr">
        <is>
          <t>Katalog Mitra Kain, Konveksi Jahit, Sablon, Aksesoris &amp; Packaging Terverifikasi</t>
        </is>
      </c>
    </row>
    <row r="4" ht="22" customHeight="1">
      <c r="B4" s="13" t="inlineStr">
        <is>
          <t>No</t>
        </is>
      </c>
      <c r="C4" s="13" t="inlineStr">
        <is>
          <t>Nama Vendor / Toko</t>
        </is>
      </c>
      <c r="D4" s="13" t="inlineStr">
        <is>
          <t>Kategori Layanan</t>
        </is>
      </c>
      <c r="E4" s="13" t="inlineStr">
        <is>
          <t>Kontak / WhatsApp</t>
        </is>
      </c>
      <c r="F4" s="13" t="inlineStr">
        <is>
          <t>Kota / Lokasi</t>
        </is>
      </c>
      <c r="G4" s="13" t="inlineStr">
        <is>
          <t>Min. Order (MOQ)</t>
        </is>
      </c>
      <c r="H4" s="13" t="inlineStr">
        <is>
          <t>Lead Time (Hari)</t>
        </is>
      </c>
      <c r="I4" s="13" t="inlineStr">
        <is>
          <t>Catatan Kualitas &amp; Keahlian</t>
        </is>
      </c>
    </row>
    <row r="5" ht="20" customHeight="1">
      <c r="B5" s="24" t="n">
        <v>1</v>
      </c>
      <c r="C5" s="8" t="inlineStr">
        <is>
          <t>Kain Utama Tekstil</t>
        </is>
      </c>
      <c r="D5" s="25" t="inlineStr">
        <is>
          <t>Toko Bahan Kain</t>
        </is>
      </c>
      <c r="E5" s="24" t="inlineStr">
        <is>
          <t>0812-8899-1122</t>
        </is>
      </c>
      <c r="F5" s="25" t="inlineStr">
        <is>
          <t>Bandung</t>
        </is>
      </c>
      <c r="G5" s="25" t="inlineStr">
        <is>
          <t>1 Roll (25 kg)</t>
        </is>
      </c>
      <c r="H5" s="45" t="n">
        <v>3</v>
      </c>
      <c r="I5" s="25" t="inlineStr">
        <is>
          <t>Spesialis Combed 16s/24s &amp; Cotton Fleece reaktif.</t>
        </is>
      </c>
    </row>
    <row r="6" ht="20" customHeight="1">
      <c r="B6" s="24" t="n">
        <v>2</v>
      </c>
      <c r="C6" s="8" t="inlineStr">
        <is>
          <t>Garment Kreasi Prima</t>
        </is>
      </c>
      <c r="D6" s="25" t="inlineStr">
        <is>
          <t>Konveksi Jahit</t>
        </is>
      </c>
      <c r="E6" s="24" t="inlineStr">
        <is>
          <t>0813-7766-3344</t>
        </is>
      </c>
      <c r="F6" s="25" t="inlineStr">
        <is>
          <t>Bandung</t>
        </is>
      </c>
      <c r="G6" s="25" t="inlineStr">
        <is>
          <t>50 pcs per model</t>
        </is>
      </c>
      <c r="H6" s="45" t="n">
        <v>14</v>
      </c>
      <c r="I6" s="25" t="inlineStr">
        <is>
          <t>Jahitan rapi standar distro, overdeck 3 jarum &amp; rantai.</t>
        </is>
      </c>
    </row>
    <row r="7" ht="20" customHeight="1">
      <c r="B7" s="24" t="n">
        <v>3</v>
      </c>
      <c r="C7" s="8" t="inlineStr">
        <is>
          <t>Studio Sablon Pro</t>
        </is>
      </c>
      <c r="D7" s="25" t="inlineStr">
        <is>
          <t>Sablon Screenprint</t>
        </is>
      </c>
      <c r="E7" s="24" t="inlineStr">
        <is>
          <t>0815-5544-2211</t>
        </is>
      </c>
      <c r="F7" s="25" t="inlineStr">
        <is>
          <t>Tangerang</t>
        </is>
      </c>
      <c r="G7" s="25" t="inlineStr">
        <is>
          <t>24 pcs per desain</t>
        </is>
      </c>
      <c r="H7" s="45" t="n">
        <v>7</v>
      </c>
      <c r="I7" s="25" t="inlineStr">
        <is>
          <t>Ahlian tinta Plastisol doff, Discharge &amp; High-Density.</t>
        </is>
      </c>
    </row>
    <row r="8" ht="20" customHeight="1">
      <c r="B8" s="24" t="n">
        <v>4</v>
      </c>
      <c r="C8" s="8" t="inlineStr">
        <is>
          <t>Woven Label Nusantara</t>
        </is>
      </c>
      <c r="D8" s="25" t="inlineStr">
        <is>
          <t>Label &amp; Hangtag</t>
        </is>
      </c>
      <c r="E8" s="24" t="inlineStr">
        <is>
          <t>0817-2233-9900</t>
        </is>
      </c>
      <c r="F8" s="25" t="inlineStr">
        <is>
          <t>Jakarta Barat</t>
        </is>
      </c>
      <c r="G8" s="25" t="inlineStr">
        <is>
          <t>100 lusin (1200 pcs)</t>
        </is>
      </c>
      <c r="H8" s="45" t="n">
        <v>10</v>
      </c>
      <c r="I8" s="25" t="inlineStr">
        <is>
          <t>Damask HD kerapatan benang tinggi, tidak gatal di leher.</t>
        </is>
      </c>
    </row>
    <row r="9" ht="20" customHeight="1">
      <c r="B9" s="24" t="n">
        <v>5</v>
      </c>
      <c r="C9" s="8" t="inlineStr">
        <is>
          <t>Packbox Mandiri</t>
        </is>
      </c>
      <c r="D9" s="25" t="inlineStr">
        <is>
          <t>Kemasan Ziplock</t>
        </is>
      </c>
      <c r="E9" s="24" t="inlineStr">
        <is>
          <t>0818-4455-6677</t>
        </is>
      </c>
      <c r="F9" s="25" t="inlineStr">
        <is>
          <t>Surabaya</t>
        </is>
      </c>
      <c r="G9" s="25" t="inlineStr">
        <is>
          <t>500 pcs</t>
        </is>
      </c>
      <c r="H9" s="45" t="n">
        <v>7</v>
      </c>
      <c r="I9" s="25" t="inlineStr">
        <is>
          <t>Ziplock frosted semi-buram dengan cetak sablon 1 warna.</t>
        </is>
      </c>
    </row>
    <row r="10" ht="20" customHeight="1">
      <c r="B10" s="24" t="n">
        <v>6</v>
      </c>
      <c r="C10" s="8" t="inlineStr">
        <is>
          <t>Mitra Ekspedisi Kargo</t>
        </is>
      </c>
      <c r="D10" s="25" t="inlineStr">
        <is>
          <t>Logistik Distribusi</t>
        </is>
      </c>
      <c r="E10" s="24" t="inlineStr">
        <is>
          <t>0819-3322-1100</t>
        </is>
      </c>
      <c r="F10" s="25" t="inlineStr">
        <is>
          <t>Jakarta Pusat</t>
        </is>
      </c>
      <c r="G10" s="25" t="inlineStr">
        <is>
          <t>10 kg</t>
        </is>
      </c>
      <c r="H10" s="45" t="n">
        <v>2</v>
      </c>
      <c r="I10" s="25" t="inlineStr">
        <is>
          <t>Tarif kargo ekonomis untuk pengiriman bahan antar kota.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2026-10-22T01:24:16Z</dcterms:created>
  <dcterms:modified xmlns:dcterms="http://purl.org/dc/terms/" xmlns:xsi="http://www.w3.org/2001/XMLSchema-instance" xsi:type="dcterms:W3CDTF">2026-10-22T01:24:16Z</dcterms:modified>
</cp:coreProperties>
</file>